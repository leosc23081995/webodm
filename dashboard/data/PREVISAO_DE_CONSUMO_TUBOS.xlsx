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8400"/>
  </bookViews>
  <sheets>
    <sheet name="RESUMO" sheetId="5" r:id="rId1"/>
    <sheet name="MATRIZ" sheetId="1" r:id="rId2"/>
  </sheets>
  <definedNames>
    <definedName name="_xlnm._FilterDatabase" localSheetId="1" hidden="1">MATRIZ!$A$2:$F$34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<sst xmlns="http://schemas.openxmlformats.org/spreadsheetml/2006/main" count="236" uniqueCount="84">
  <si>
    <t xml:space="preserve">PREVISAO DE CONSUMO </t>
  </si>
  <si>
    <t xml:space="preserve">DEMANDAS DE PEDIDOS ENVIADOS AS UNIDADES </t>
  </si>
  <si>
    <t>DATA: 14/05/2026</t>
  </si>
  <si>
    <t>PERÍODO DE APURAÇÃO 01/02/2026 À 30/042026</t>
  </si>
  <si>
    <t>DESCRIÇÃO DO PRODUTO</t>
  </si>
  <si>
    <t>SALDO EM ESTOQUE</t>
  </si>
  <si>
    <t>MEDIA DE CONSUMO/DIA (QDT/UND)</t>
  </si>
  <si>
    <t>MEDIA DE CONSUMO/MÊS (QDT/UND)</t>
  </si>
  <si>
    <t xml:space="preserve">PREVISAO DE CONSUMO EM DIAS </t>
  </si>
  <si>
    <t xml:space="preserve">PREVISAO DE CONSUMO/MES </t>
  </si>
  <si>
    <t xml:space="preserve">NTO </t>
  </si>
  <si>
    <t>REUNIDOS</t>
  </si>
  <si>
    <t>COMPLEXO HOSP. ZONA LESTE</t>
  </si>
  <si>
    <t>HOSP. CHAPOT PRESVOST</t>
  </si>
  <si>
    <t xml:space="preserve">HOSP. GERALDO DA ROCHA </t>
  </si>
  <si>
    <t>HOSP. FRANCISCA MENDES</t>
  </si>
  <si>
    <t>HOSP. SANTO ALBERTO</t>
  </si>
  <si>
    <t xml:space="preserve">INST. DE SAÚDE DA CRIANÇA </t>
  </si>
  <si>
    <t>FCECON</t>
  </si>
  <si>
    <t xml:space="preserve">MAT. ANA BRAGA </t>
  </si>
  <si>
    <t xml:space="preserve">MAT. NAZIRA DAOU </t>
  </si>
  <si>
    <t>MAT. AZILDA MARREIRO</t>
  </si>
  <si>
    <t xml:space="preserve">MAT. ALVORADA </t>
  </si>
  <si>
    <t>MAT. BALBINA MESTRINHO</t>
  </si>
  <si>
    <t>SPA ELIAMEME MADY</t>
  </si>
  <si>
    <t xml:space="preserve">SPA JOVENTINA DIAS </t>
  </si>
  <si>
    <t xml:space="preserve">HPSC ZONA OESTE </t>
  </si>
  <si>
    <t>HPSC ZONA SUL</t>
  </si>
  <si>
    <t>HOSP. DR. FAJARDO</t>
  </si>
  <si>
    <t>D´CLINIC</t>
  </si>
  <si>
    <t>SUMAUMA</t>
  </si>
  <si>
    <t>UROCLIN</t>
  </si>
  <si>
    <t>MILLENNIUM CENTER</t>
  </si>
  <si>
    <t>STO</t>
  </si>
  <si>
    <t xml:space="preserve">SKY PLATIUM </t>
  </si>
  <si>
    <t>CEMOM</t>
  </si>
  <si>
    <t xml:space="preserve">SOBERANE </t>
  </si>
  <si>
    <t>AUTAZES</t>
  </si>
  <si>
    <t xml:space="preserve">LABREA </t>
  </si>
  <si>
    <t xml:space="preserve">SIG HOSP. VETERINARIO </t>
  </si>
  <si>
    <t>CLINICA SAUDE &amp; RH</t>
  </si>
  <si>
    <t>MICROTUBO 0,5ML AMARELO</t>
  </si>
  <si>
    <t>MICROTUBO ATIV. DE COAGULO 0,5ML TAMPA VERM</t>
  </si>
  <si>
    <t>MICROTUBO FLUORETO 0,5ML TAMPA CINZA</t>
  </si>
  <si>
    <t>MICROTUBO HEPARINA 0,5ML TAMPA VERDE</t>
  </si>
  <si>
    <t>MICROTUBO K2 EDTA 0,5ML TAMPA ROXA</t>
  </si>
  <si>
    <t>TUBO ATIV. DE COAGULO 4.0ML TAMPA VERM</t>
  </si>
  <si>
    <t>TUBO ATIV. DE COAGULO 9.0ML TAMPA VERM</t>
  </si>
  <si>
    <t>TUBO CITRATO DE SODIO 3,6ML TAMPA AZUL</t>
  </si>
  <si>
    <t>TUBO CITRATO TRISSODICO PAREDE DUPLA 2.7ML</t>
  </si>
  <si>
    <t>TUBO COM GEL SEPARADOR 3,5ML TAMPA AMAR</t>
  </si>
  <si>
    <t xml:space="preserve">TUBO COM GEL SEPARADOR 8.5ML </t>
  </si>
  <si>
    <t xml:space="preserve">TUBO DE HEPARINA 4ML TAMPA VERDE </t>
  </si>
  <si>
    <t>TUBO EDTA  2.0ML TAMPA ROXA</t>
  </si>
  <si>
    <t>TUBO EDTA  4.0ML TAMPA ROXA</t>
  </si>
  <si>
    <t xml:space="preserve">TUBO FLUORETO 4ML TAMPA CINZA </t>
  </si>
  <si>
    <t>TUBO S/ ADITIVO 9 ML TAMPA BRANCA</t>
  </si>
  <si>
    <t>TUBO S/ADITIVO 3.0ML TAMPA BRANCA</t>
  </si>
  <si>
    <t>TUBO S/ADITIVO 4ML TAMPA BRANCA</t>
  </si>
  <si>
    <t>TUBO SORO 10ML TAMPA VERM</t>
  </si>
  <si>
    <t>Total geral</t>
  </si>
  <si>
    <t xml:space="preserve">INFORMAÇÕES PUXADAS TIRADAS DO SISTEMA SUPRA </t>
  </si>
  <si>
    <t>COD SUPRA+</t>
  </si>
  <si>
    <t>COD DE FAB</t>
  </si>
  <si>
    <t>Nome do Produto</t>
  </si>
  <si>
    <t>Fabricante</t>
  </si>
  <si>
    <t>Und</t>
  </si>
  <si>
    <t>Qte.Estoque</t>
  </si>
  <si>
    <t>MEDIX</t>
  </si>
  <si>
    <t>UN</t>
  </si>
  <si>
    <t xml:space="preserve">REUNIDOS </t>
  </si>
  <si>
    <t xml:space="preserve">DESCART </t>
  </si>
  <si>
    <t>BECTON</t>
  </si>
  <si>
    <t>3270NR</t>
  </si>
  <si>
    <t>VACUPLAST</t>
  </si>
  <si>
    <t>MP0510</t>
  </si>
  <si>
    <t>BIOCON</t>
  </si>
  <si>
    <t>3269NR</t>
  </si>
  <si>
    <t>MP0581</t>
  </si>
  <si>
    <t>FIRSTLAB</t>
  </si>
  <si>
    <t>GD036SCNR</t>
  </si>
  <si>
    <t>TV040SH</t>
  </si>
  <si>
    <t>NG-SC9</t>
  </si>
  <si>
    <t>GD040SADT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</si>
</sst>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9">
    <font>
      <sz val="11"/>
      <color theme="1"/>
      <name val="Aptos Narrow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b/>
      <sz val="14"/>
      <color theme="0"/>
      <name val="Calibri"/>
      <charset val="134"/>
    </font>
    <font>
      <b/>
      <sz val="11"/>
      <color theme="1"/>
      <name val="Aptos Narrow"/>
      <charset val="134"/>
      <scheme val="minor"/>
    </font>
    <font>
      <sz val="12"/>
      <color theme="0"/>
      <name val="Calibri"/>
      <charset val="134"/>
    </font>
    <font>
      <sz val="11"/>
      <color theme="0"/>
      <name val="Aptos Narrow"/>
      <charset val="134"/>
      <scheme val="minor"/>
    </font>
    <font>
      <b/>
      <sz val="11"/>
      <color theme="0"/>
      <name val="Calibri"/>
      <charset val="134"/>
    </font>
    <font>
      <sz val="11"/>
      <color theme="0" tint="-0.349986266670736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rgb="FFFFFF00"/>
        <bgColor theme="4" tint="0.7999206518753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24" applyNumberFormat="0" applyAlignment="0" applyProtection="0">
      <alignment vertical="center"/>
    </xf>
    <xf numFmtId="0" fontId="19" fillId="10" borderId="25" applyNumberFormat="0" applyAlignment="0" applyProtection="0">
      <alignment vertical="center"/>
    </xf>
    <xf numFmtId="0" fontId="20" fillId="10" borderId="24" applyNumberFormat="0" applyAlignment="0" applyProtection="0">
      <alignment vertical="center"/>
    </xf>
    <xf numFmtId="0" fontId="21" fillId="11" borderId="26" applyNumberFormat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4" fontId="0" fillId="0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" fontId="1" fillId="0" borderId="1" xfId="0" applyNumberFormat="1" applyFont="1" applyBorder="1"/>
    <xf numFmtId="0" fontId="1" fillId="6" borderId="1" xfId="0" applyFont="1" applyFill="1" applyBorder="1"/>
    <xf numFmtId="0" fontId="1" fillId="7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6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3" fontId="1" fillId="7" borderId="2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3" borderId="14" xfId="0" applyFont="1" applyFill="1" applyBorder="1" applyAlignment="1">
      <alignment horizontal="center" vertical="center"/>
    </xf>
    <xf numFmtId="1" fontId="5" fillId="3" borderId="16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67"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Calibri"/>
        <scheme val="none"/>
        <family val="2"/>
      </font>
    </dxf>
    <dxf>
      <font>
        <name val="Calibri"/>
        <scheme val="none"/>
        <family val="2"/>
      </font>
    </dxf>
    <dxf>
      <font>
        <name val="Calibri"/>
        <scheme val="none"/>
        <family val="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top style="thin">
          <color auto="1"/>
        </top>
      </border>
    </dxf>
    <dxf>
      <font>
        <name val="Calibri"/>
        <scheme val="none"/>
        <family val="2"/>
      </font>
    </dxf>
    <dxf>
      <font>
        <name val="Calibri"/>
        <scheme val="none"/>
        <family val="2"/>
      </font>
    </dxf>
    <dxf>
      <font>
        <name val="Calibri"/>
        <scheme val="none"/>
        <family val="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56.5711502315" refreshedBy="KAROLIN G." recordCount="32">
  <cacheSource type="worksheet">
    <worksheetSource ref="A2:F34" sheet="MATRIZ"/>
  </cacheSource>
  <cacheFields count="6">
    <cacheField name="COD SUPRA+" numFmtId="0"/>
    <cacheField name="COD DE FAB" numFmtId="0"/>
    <cacheField name="Nome do Produto" numFmtId="0">
      <sharedItems count="19">
        <s v="MICROTUBO 0,5ML AMARELO"/>
        <s v="MICROTUBO ATIV. DE COAGULO 0,5ML TAMPA VERM"/>
        <s v="MICROTUBO FLUORETO 0,5ML TAMPA CINZA"/>
        <s v="MICROTUBO HEPARINA 0,5ML TAMPA VERDE"/>
        <s v="MICROTUBO K2 EDTA 0,5ML TAMPA ROXA"/>
        <s v="TUBO ATIV. DE COAGULO 4.0ML TAMPA VERM"/>
        <s v="TUBO ATIV. DE COAGULO 9.0ML TAMPA VERM"/>
        <s v="TUBO CITRATO DE SODIO 3,6ML TAMPA AZUL"/>
        <s v="TUBO CITRATO TRISSODICO PAREDE DUPLA 2.7ML"/>
        <s v="TUBO COM GEL SEPARADOR 3,5ML TAMPA AMAR"/>
        <s v="TUBO COM GEL SEPARADOR 8.5ML "/>
        <s v="TUBO DE HEPARINA 4ML TAMPA VERDE "/>
        <s v="TUBO EDTA  2.0ML TAMPA ROXA"/>
        <s v="TUBO EDTA  4.0ML TAMPA ROXA"/>
        <s v="TUBO FLUORETO 4ML TAMPA CINZA "/>
        <s v="TUBO S/ ADITIVO 9 ML TAMPA BRANCA"/>
        <s v="TUBO S/ADITIVO 3.0ML TAMPA BRANCA"/>
        <s v="TUBO S/ADITIVO 4ML TAMPA BRANCA"/>
        <s v="TUBO SORO 10ML TAMPA VERM"/>
      </sharedItems>
    </cacheField>
    <cacheField name="Fabricante" numFmtId="0">
      <sharedItems count="5">
        <s v="MEDIX"/>
        <s v="BECTON"/>
        <s v="VACUPLAST"/>
        <s v="BIOCON"/>
        <s v="FIRSTLAB"/>
      </sharedItems>
    </cacheField>
    <cacheField name="Und" numFmtId="0"/>
    <cacheField name="Qte.Estoqu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n v="3557"/>
    <n v="10028"/>
    <x v="0"/>
    <x v="0"/>
    <s v="UN"/>
    <n v="300"/>
  </r>
  <r>
    <n v="7331"/>
    <n v="365978"/>
    <x v="0"/>
    <x v="1"/>
    <s v="UN"/>
    <n v="200"/>
  </r>
  <r>
    <n v="469"/>
    <s v="3270NR"/>
    <x v="0"/>
    <x v="2"/>
    <s v="UN"/>
    <n v="950"/>
  </r>
  <r>
    <n v="3526"/>
    <n v="10030"/>
    <x v="1"/>
    <x v="0"/>
    <s v="UN"/>
    <n v="12100"/>
  </r>
  <r>
    <n v="6705"/>
    <s v="MP0510"/>
    <x v="1"/>
    <x v="3"/>
    <s v="UN"/>
    <n v="5600"/>
  </r>
  <r>
    <n v="2955"/>
    <s v="3269NR"/>
    <x v="1"/>
    <x v="2"/>
    <s v="UN"/>
    <n v="8550"/>
  </r>
  <r>
    <n v="7613"/>
    <n v="365992"/>
    <x v="2"/>
    <x v="1"/>
    <s v="UN"/>
    <n v="19"/>
  </r>
  <r>
    <n v="7614"/>
    <n v="365965"/>
    <x v="3"/>
    <x v="1"/>
    <s v="UN"/>
    <n v="60"/>
  </r>
  <r>
    <n v="6706"/>
    <s v="MP0581"/>
    <x v="4"/>
    <x v="3"/>
    <s v="UN"/>
    <n v="900"/>
  </r>
  <r>
    <n v="7547"/>
    <n v="363706"/>
    <x v="4"/>
    <x v="1"/>
    <s v="UN"/>
    <n v="200"/>
  </r>
  <r>
    <n v="8370"/>
    <n v="365974"/>
    <x v="4"/>
    <x v="1"/>
    <s v="UN"/>
    <n v="150"/>
  </r>
  <r>
    <n v="3527"/>
    <n v="10026"/>
    <x v="4"/>
    <x v="0"/>
    <s v="UN"/>
    <n v="4500"/>
  </r>
  <r>
    <n v="7932"/>
    <n v="4259"/>
    <x v="5"/>
    <x v="4"/>
    <s v="UN"/>
    <n v="2100"/>
  </r>
  <r>
    <n v="3117"/>
    <n v="10001"/>
    <x v="5"/>
    <x v="0"/>
    <s v="UN"/>
    <n v="31300"/>
  </r>
  <r>
    <n v="7336"/>
    <n v="360053"/>
    <x v="5"/>
    <x v="1"/>
    <s v="UN"/>
    <n v="8800"/>
  </r>
  <r>
    <n v="3906"/>
    <n v="10002"/>
    <x v="6"/>
    <x v="0"/>
    <s v="UN"/>
    <n v="1900"/>
  </r>
  <r>
    <n v="2009"/>
    <s v="GD036SCNR"/>
    <x v="7"/>
    <x v="2"/>
    <s v="UN"/>
    <n v="22400"/>
  </r>
  <r>
    <n v="484"/>
    <n v="10406"/>
    <x v="8"/>
    <x v="0"/>
    <s v="UN"/>
    <n v="5100"/>
  </r>
  <r>
    <n v="7338"/>
    <n v="360059"/>
    <x v="9"/>
    <x v="1"/>
    <s v="UN"/>
    <n v="200"/>
  </r>
  <r>
    <n v="7548"/>
    <n v="367953"/>
    <x v="10"/>
    <x v="1"/>
    <s v="UN"/>
    <n v="900"/>
  </r>
  <r>
    <n v="466"/>
    <s v="TV040SH"/>
    <x v="11"/>
    <x v="2"/>
    <s v="UN"/>
    <n v="170"/>
  </r>
  <r>
    <n v="7549"/>
    <n v="367871"/>
    <x v="11"/>
    <x v="1"/>
    <s v="UN"/>
    <n v="1624"/>
  </r>
  <r>
    <n v="3118"/>
    <n v="10011"/>
    <x v="12"/>
    <x v="0"/>
    <s v="UN"/>
    <n v="11300"/>
  </r>
  <r>
    <n v="7328"/>
    <n v="360055"/>
    <x v="12"/>
    <x v="1"/>
    <s v="UN"/>
    <n v="3000"/>
  </r>
  <r>
    <n v="3316"/>
    <n v="10012"/>
    <x v="13"/>
    <x v="0"/>
    <s v="UN"/>
    <n v="25200"/>
  </r>
  <r>
    <n v="7337"/>
    <n v="360057"/>
    <x v="13"/>
    <x v="1"/>
    <s v="UN"/>
    <n v="4800"/>
  </r>
  <r>
    <n v="8044"/>
    <n v="2827"/>
    <x v="14"/>
    <x v="2"/>
    <s v="UN"/>
    <n v="100"/>
  </r>
  <r>
    <n v="7019"/>
    <s v="NG-SC9"/>
    <x v="15"/>
    <x v="3"/>
    <s v="UN"/>
    <n v="0"/>
  </r>
  <r>
    <n v="7335"/>
    <n v="360051"/>
    <x v="16"/>
    <x v="1"/>
    <s v="UN"/>
    <n v="400"/>
  </r>
  <r>
    <n v="3475"/>
    <s v="GD040SADT"/>
    <x v="17"/>
    <x v="2"/>
    <s v="UN"/>
    <n v="8000"/>
  </r>
  <r>
    <n v="7443"/>
    <n v="367820"/>
    <x v="18"/>
    <x v="1"/>
    <s v="UN"/>
    <n v="900"/>
  </r>
  <r>
    <n v="8455"/>
    <n v="2776"/>
    <x v="14"/>
    <x v="4"/>
    <s v="UN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6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rowHeaderCaption="DESCRIÇÃO DO PRODUTO">
  <location ref="A5:B25" firstHeaderRow="1" firstDataRow="1" firstDataCol="1"/>
  <pivotFields count="6">
    <pivotField showAll="0"/>
    <pivotField showAll="0"/>
    <pivotField axis="axisRow"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/>
      </items>
    </pivotField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dataField="1" showAll="0"/>
  </pivotFields>
  <rowFields count="2">
    <field x="2"/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ALDO EM ESTOQUE" fld="5" baseField="0" baseItem="0"/>
  </dataFields>
  <formats count="67">
    <format dxfId="0">
      <pivotArea field="2" type="button" dataOnly="0" labelOnly="1" outline="0" fieldPosition="0"/>
    </format>
    <format dxfId="1">
      <pivotArea dataOnly="0" labelOnly="1" outline="0" fieldPosition="0"/>
    </format>
    <format dxfId="2">
      <pivotArea field="2" type="button" dataOnly="0" labelOnly="1" outline="0" fieldPosition="0"/>
    </format>
    <format dxfId="3">
      <pivotArea dataOnly="0" labelOnly="1" outline="0" fieldPosition="0"/>
    </format>
    <format dxfId="4">
      <pivotArea field="2" type="button" dataOnly="0" labelOnly="1" outline="0" fieldPosition="0"/>
    </format>
    <format dxfId="5">
      <pivotArea dataOnly="0" labelOnly="1" outline="0" fieldPosition="0"/>
    </format>
    <format dxfId="6">
      <pivotArea collapsedLevelsAreSubtotals="1" fieldPosition="0">
        <references count="1">
          <reference field="2" count="1">
            <x v="0"/>
          </reference>
        </references>
      </pivotArea>
    </format>
    <format dxfId="7">
      <pivotArea collapsedLevelsAreSubtotals="1" fieldPosition="0">
        <references count="1">
          <reference field="2" count="1">
            <x v="1"/>
          </reference>
        </references>
      </pivotArea>
    </format>
    <format dxfId="8">
      <pivotArea collapsedLevelsAreSubtotals="1" fieldPosition="0">
        <references count="1">
          <reference field="2" count="1">
            <x v="2"/>
          </reference>
        </references>
      </pivotArea>
    </format>
    <format dxfId="9">
      <pivotArea collapsedLevelsAreSubtotals="1" fieldPosition="0">
        <references count="1">
          <reference field="2" count="1">
            <x v="3"/>
          </reference>
        </references>
      </pivotArea>
    </format>
    <format dxfId="10">
      <pivotArea collapsedLevelsAreSubtotals="1" fieldPosition="0">
        <references count="1">
          <reference field="2" count="1">
            <x v="4"/>
          </reference>
        </references>
      </pivotArea>
    </format>
    <format dxfId="11">
      <pivotArea collapsedLevelsAreSubtotals="1" fieldPosition="0">
        <references count="1">
          <reference field="2" count="1">
            <x v="5"/>
          </reference>
        </references>
      </pivotArea>
    </format>
    <format dxfId="12">
      <pivotArea collapsedLevelsAreSubtotals="1" fieldPosition="0">
        <references count="1">
          <reference field="2" count="1">
            <x v="6"/>
          </reference>
        </references>
      </pivotArea>
    </format>
    <format dxfId="13">
      <pivotArea collapsedLevelsAreSubtotals="1" fieldPosition="0">
        <references count="1">
          <reference field="2" count="1">
            <x v="7"/>
          </reference>
        </references>
      </pivotArea>
    </format>
    <format dxfId="14">
      <pivotArea collapsedLevelsAreSubtotals="1" fieldPosition="0">
        <references count="1">
          <reference field="2" count="1">
            <x v="8"/>
          </reference>
        </references>
      </pivotArea>
    </format>
    <format dxfId="15">
      <pivotArea collapsedLevelsAreSubtotals="1" fieldPosition="0">
        <references count="1">
          <reference field="2" count="1">
            <x v="9"/>
          </reference>
        </references>
      </pivotArea>
    </format>
    <format dxfId="16">
      <pivotArea collapsedLevelsAreSubtotals="1" fieldPosition="0">
        <references count="1">
          <reference field="2" count="1">
            <x v="10"/>
          </reference>
        </references>
      </pivotArea>
    </format>
    <format dxfId="17">
      <pivotArea collapsedLevelsAreSubtotals="1" fieldPosition="0">
        <references count="1">
          <reference field="2" count="1">
            <x v="11"/>
          </reference>
        </references>
      </pivotArea>
    </format>
    <format dxfId="18">
      <pivotArea collapsedLevelsAreSubtotals="1" fieldPosition="0">
        <references count="1">
          <reference field="2" count="1">
            <x v="12"/>
          </reference>
        </references>
      </pivotArea>
    </format>
    <format dxfId="19">
      <pivotArea collapsedLevelsAreSubtotals="1" fieldPosition="0">
        <references count="1">
          <reference field="2" count="1">
            <x v="13"/>
          </reference>
        </references>
      </pivotArea>
    </format>
    <format dxfId="20">
      <pivotArea collapsedLevelsAreSubtotals="1" fieldPosition="0">
        <references count="1">
          <reference field="2" count="1">
            <x v="14"/>
          </reference>
        </references>
      </pivotArea>
    </format>
    <format dxfId="21">
      <pivotArea collapsedLevelsAreSubtotals="1" fieldPosition="0">
        <references count="1">
          <reference field="2" count="1">
            <x v="15"/>
          </reference>
        </references>
      </pivotArea>
    </format>
    <format dxfId="22">
      <pivotArea collapsedLevelsAreSubtotals="1" fieldPosition="0">
        <references count="1">
          <reference field="2" count="1">
            <x v="16"/>
          </reference>
        </references>
      </pivotArea>
    </format>
    <format dxfId="23">
      <pivotArea collapsedLevelsAreSubtotals="1" fieldPosition="0">
        <references count="1">
          <reference field="2" count="1">
            <x v="17"/>
          </reference>
        </references>
      </pivotArea>
    </format>
    <format dxfId="24">
      <pivotArea collapsedLevelsAreSubtotals="1" fieldPosition="0">
        <references count="1">
          <reference field="2" count="1">
            <x v="18"/>
          </reference>
        </references>
      </pivotArea>
    </format>
    <format dxfId="25">
      <pivotArea field="2" type="button" dataOnly="0" labelOnly="1" outline="0" fieldPosition="0"/>
    </format>
    <format dxfId="26">
      <pivotArea dataOnly="0" labelOnly="1" fieldPosition="0">
        <references count="1">
          <reference field="2" count="0"/>
        </references>
      </pivotArea>
    </format>
    <format dxfId="27">
      <pivotArea dataOnly="0" labelOnly="1" outline="0" fieldPosition="0"/>
    </format>
    <format dxfId="28">
      <pivotArea collapsedLevelsAreSubtotals="1" fieldPosition="0">
        <references count="1">
          <reference field="2" count="1">
            <x v="0"/>
          </reference>
        </references>
      </pivotArea>
    </format>
    <format dxfId="29">
      <pivotArea collapsedLevelsAreSubtotals="1" fieldPosition="0">
        <references count="1">
          <reference field="2" count="1">
            <x v="1"/>
          </reference>
        </references>
      </pivotArea>
    </format>
    <format dxfId="30">
      <pivotArea collapsedLevelsAreSubtotals="1" fieldPosition="0">
        <references count="1">
          <reference field="2" count="1">
            <x v="2"/>
          </reference>
        </references>
      </pivotArea>
    </format>
    <format dxfId="31">
      <pivotArea collapsedLevelsAreSubtotals="1" fieldPosition="0">
        <references count="1">
          <reference field="2" count="1">
            <x v="3"/>
          </reference>
        </references>
      </pivotArea>
    </format>
    <format dxfId="32">
      <pivotArea collapsedLevelsAreSubtotals="1" fieldPosition="0">
        <references count="1">
          <reference field="2" count="1">
            <x v="4"/>
          </reference>
        </references>
      </pivotArea>
    </format>
    <format dxfId="33">
      <pivotArea collapsedLevelsAreSubtotals="1" fieldPosition="0">
        <references count="1">
          <reference field="2" count="1">
            <x v="5"/>
          </reference>
        </references>
      </pivotArea>
    </format>
    <format dxfId="34">
      <pivotArea collapsedLevelsAreSubtotals="1" fieldPosition="0">
        <references count="1">
          <reference field="2" count="1">
            <x v="6"/>
          </reference>
        </references>
      </pivotArea>
    </format>
    <format dxfId="35">
      <pivotArea collapsedLevelsAreSubtotals="1" fieldPosition="0">
        <references count="1">
          <reference field="2" count="1">
            <x v="7"/>
          </reference>
        </references>
      </pivotArea>
    </format>
    <format dxfId="36">
      <pivotArea collapsedLevelsAreSubtotals="1" fieldPosition="0">
        <references count="1">
          <reference field="2" count="1">
            <x v="8"/>
          </reference>
        </references>
      </pivotArea>
    </format>
    <format dxfId="37">
      <pivotArea collapsedLevelsAreSubtotals="1" fieldPosition="0">
        <references count="1">
          <reference field="2" count="1">
            <x v="9"/>
          </reference>
        </references>
      </pivotArea>
    </format>
    <format dxfId="38">
      <pivotArea collapsedLevelsAreSubtotals="1" fieldPosition="0">
        <references count="1">
          <reference field="2" count="1">
            <x v="10"/>
          </reference>
        </references>
      </pivotArea>
    </format>
    <format dxfId="39">
      <pivotArea collapsedLevelsAreSubtotals="1" fieldPosition="0">
        <references count="1">
          <reference field="2" count="1">
            <x v="11"/>
          </reference>
        </references>
      </pivotArea>
    </format>
    <format dxfId="40">
      <pivotArea collapsedLevelsAreSubtotals="1" fieldPosition="0">
        <references count="1">
          <reference field="2" count="1">
            <x v="12"/>
          </reference>
        </references>
      </pivotArea>
    </format>
    <format dxfId="41">
      <pivotArea collapsedLevelsAreSubtotals="1" fieldPosition="0">
        <references count="1">
          <reference field="2" count="1">
            <x v="13"/>
          </reference>
        </references>
      </pivotArea>
    </format>
    <format dxfId="42">
      <pivotArea collapsedLevelsAreSubtotals="1" fieldPosition="0">
        <references count="1">
          <reference field="2" count="1">
            <x v="14"/>
          </reference>
        </references>
      </pivotArea>
    </format>
    <format dxfId="43">
      <pivotArea collapsedLevelsAreSubtotals="1" fieldPosition="0">
        <references count="1">
          <reference field="2" count="1">
            <x v="15"/>
          </reference>
        </references>
      </pivotArea>
    </format>
    <format dxfId="44">
      <pivotArea collapsedLevelsAreSubtotals="1" fieldPosition="0">
        <references count="1">
          <reference field="2" count="1">
            <x v="16"/>
          </reference>
        </references>
      </pivotArea>
    </format>
    <format dxfId="45">
      <pivotArea collapsedLevelsAreSubtotals="1" fieldPosition="0">
        <references count="1">
          <reference field="2" count="1">
            <x v="17"/>
          </reference>
        </references>
      </pivotArea>
    </format>
    <format dxfId="46">
      <pivotArea collapsedLevelsAreSubtotals="1" fieldPosition="0">
        <references count="1">
          <reference field="2" count="1">
            <x v="18"/>
          </reference>
        </references>
      </pivotArea>
    </format>
    <format dxfId="47">
      <pivotArea dataOnly="0" labelOnly="1" outline="0" fieldPosition="0"/>
    </format>
    <format dxfId="48">
      <pivotArea type="all" dataOnly="0" outline="0" fieldPosition="0"/>
    </format>
    <format dxfId="49">
      <pivotArea field="2" type="button" dataOnly="0" labelOnly="1" outline="0" fieldPosition="0"/>
    </format>
    <format dxfId="50">
      <pivotArea dataOnly="0" labelOnly="1" outline="0" fieldPosition="0"/>
    </format>
    <format dxfId="51">
      <pivotArea type="all" dataOnly="0" outline="0" fieldPosition="0"/>
    </format>
    <format dxfId="52">
      <pivotArea field="2" type="button" dataOnly="0" labelOnly="1" outline="0" fieldPosition="0"/>
    </format>
    <format dxfId="53">
      <pivotArea dataOnly="0" labelOnly="1" outline="0" fieldPosition="0"/>
    </format>
    <format dxfId="54">
      <pivotArea field="2" type="button" dataOnly="0" labelOnly="1" outline="0" fieldPosition="0"/>
    </format>
    <format dxfId="55">
      <pivotArea dataOnly="0" labelOnly="1" outline="0" fieldPosition="0"/>
    </format>
    <format dxfId="56">
      <pivotArea field="2" type="button" dataOnly="0" labelOnly="1" outline="0" fieldPosition="0"/>
    </format>
    <format dxfId="57">
      <pivotArea dataOnly="0" labelOnly="1" outline="0" fieldPosition="0"/>
    </format>
    <format dxfId="58">
      <pivotArea field="2" type="button" dataOnly="0" labelOnly="1" outline="0" fieldPosition="0"/>
    </format>
    <format dxfId="59">
      <pivotArea dataOnly="0" labelOnly="1" outline="0" fieldPosition="0"/>
    </format>
    <format dxfId="60">
      <pivotArea dataOnly="0" labelOnly="1" outline="0" fieldPosition="0"/>
    </format>
    <format dxfId="61">
      <pivotArea outline="0" collapsedLevelsAreSubtotals="1" fieldPosition="0"/>
    </format>
    <format dxfId="62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4">
      <pivotArea outline="0" collapsedLevelsAreSubtotals="1" fieldPosition="0"/>
    </format>
    <format dxfId="65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6"/>
  <sheetViews>
    <sheetView showGridLines="0" tabSelected="1" zoomScale="70" zoomScaleNormal="70" topLeftCell="A2" workbookViewId="0">
      <selection activeCell="L19" sqref="L19"/>
    </sheetView>
  </sheetViews>
  <sheetFormatPr defaultColWidth="9" defaultRowHeight="13.8"/>
  <cols>
    <col min="1" max="1" width="52.45"/>
    <col min="2" max="2" width="19.8"/>
    <col min="3" max="3" width="21.3333333333333" customWidth="1"/>
    <col min="4" max="4" width="21.1083333333333" customWidth="1"/>
    <col min="5" max="5" width="13.5583333333333" customWidth="1"/>
    <col min="6" max="6" width="15.3333333333333" customWidth="1"/>
    <col min="7" max="7" width="5.33333333333333" customWidth="1"/>
    <col min="8" max="9" width="10.775" customWidth="1"/>
    <col min="10" max="10" width="11.3333333333333" style="8" customWidth="1"/>
    <col min="11" max="20" width="10.775" style="8" customWidth="1"/>
    <col min="21" max="21" width="11.3333333333333" style="8" customWidth="1"/>
    <col min="22" max="29" width="10.775" style="8" customWidth="1"/>
    <col min="30" max="31" width="13.4416666666667" style="8" customWidth="1"/>
    <col min="32" max="36" width="10.775" style="8" customWidth="1"/>
    <col min="37" max="38" width="12.2166666666667" style="8" customWidth="1"/>
    <col min="39" max="43" width="10.775" style="8" customWidth="1"/>
  </cols>
  <sheetData>
    <row r="1" ht="14.55"/>
    <row r="2" ht="43.5" customHeight="1" spans="1:43">
      <c r="A2" s="9" t="s">
        <v>0</v>
      </c>
      <c r="B2" s="10"/>
      <c r="C2" s="10"/>
      <c r="D2" s="10"/>
      <c r="E2" s="10"/>
      <c r="F2" s="11"/>
      <c r="H2" s="12" t="s">
        <v>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4"/>
      <c r="AM2" s="15"/>
      <c r="AN2" s="15"/>
      <c r="AO2" s="15"/>
      <c r="AP2" s="15"/>
      <c r="AQ2" s="15"/>
    </row>
    <row r="3" ht="18" customHeight="1" spans="1:43">
      <c r="A3" s="16" t="s">
        <v>2</v>
      </c>
      <c r="B3" s="17"/>
      <c r="C3" s="17"/>
      <c r="D3" s="17"/>
      <c r="E3" s="17"/>
      <c r="F3" s="18"/>
      <c r="H3" s="19" t="s">
        <v>3</v>
      </c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2"/>
    </row>
    <row r="4" ht="16.35" spans="1:43">
      <c r="A4" s="7"/>
      <c r="B4" s="7"/>
      <c r="C4" s="7"/>
      <c r="D4" s="7"/>
      <c r="E4" s="7"/>
      <c r="F4" s="7"/>
    </row>
    <row r="5" ht="51.75" customHeight="1" spans="1:43">
      <c r="A5" s="23" t="s">
        <v>4</v>
      </c>
      <c r="B5" s="7" t="s">
        <v>5</v>
      </c>
      <c r="C5" s="24" t="s">
        <v>6</v>
      </c>
      <c r="D5" s="24" t="s">
        <v>7</v>
      </c>
      <c r="E5" s="24" t="s">
        <v>8</v>
      </c>
      <c r="F5" s="25" t="s">
        <v>9</v>
      </c>
      <c r="G5" s="26"/>
      <c r="H5" s="27" t="s">
        <v>10</v>
      </c>
      <c r="I5" s="28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30" t="s">
        <v>39</v>
      </c>
      <c r="AL5" s="31" t="s">
        <v>40</v>
      </c>
    </row>
    <row r="6" s="7" customFormat="1" ht="19.95" customHeight="1" spans="1:43">
      <c r="A6" s="32" t="s">
        <v>41</v>
      </c>
      <c r="B6" s="7">
        <v>1450</v>
      </c>
      <c r="C6" s="33">
        <v>0</v>
      </c>
      <c r="D6" s="33">
        <f>C6*30</f>
        <v>0</v>
      </c>
      <c r="E6" s="34">
        <v>0</v>
      </c>
      <c r="F6" s="35">
        <v>0</v>
      </c>
      <c r="H6" s="36"/>
      <c r="I6" s="36">
        <v>1</v>
      </c>
      <c r="J6" s="36"/>
      <c r="K6" s="36"/>
      <c r="L6" s="36"/>
      <c r="M6" s="36"/>
      <c r="N6" s="36"/>
      <c r="O6" s="36"/>
      <c r="P6" s="36"/>
      <c r="Q6" s="36">
        <v>17</v>
      </c>
      <c r="R6" s="36">
        <v>2</v>
      </c>
      <c r="S6" s="36">
        <v>2</v>
      </c>
      <c r="T6" s="36"/>
      <c r="U6" s="36"/>
      <c r="V6" s="36">
        <v>2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7"/>
      <c r="AN6" s="37"/>
      <c r="AO6" s="37"/>
      <c r="AP6" s="37"/>
      <c r="AQ6" s="37"/>
    </row>
    <row r="7" s="7" customFormat="1" ht="19.95" customHeight="1" spans="1:43">
      <c r="A7" s="32" t="s">
        <v>42</v>
      </c>
      <c r="B7" s="7">
        <v>26250</v>
      </c>
      <c r="C7" s="33">
        <v>109</v>
      </c>
      <c r="D7" s="33">
        <f t="shared" ref="D7:D24" si="0">C7*30</f>
        <v>3270</v>
      </c>
      <c r="E7" s="34">
        <f>GETPIVOTDATA("Qte.Estoque",$A$5,"Nome do Produto","MICROTUBO ATIV. DE COAGULO 0,5ML TAMPA VERM")/C7</f>
        <v>240.825688073395</v>
      </c>
      <c r="F7" s="38">
        <f>E7/30</f>
        <v>8.02752293577982</v>
      </c>
      <c r="H7" s="39"/>
      <c r="I7" s="39">
        <v>5</v>
      </c>
      <c r="J7" s="39">
        <v>8</v>
      </c>
      <c r="K7" s="39">
        <v>4</v>
      </c>
      <c r="L7" s="39"/>
      <c r="M7" s="39">
        <v>6</v>
      </c>
      <c r="N7" s="39">
        <v>1</v>
      </c>
      <c r="O7" s="39">
        <v>29</v>
      </c>
      <c r="P7" s="39"/>
      <c r="Q7" s="39">
        <v>2</v>
      </c>
      <c r="R7" s="39">
        <v>4</v>
      </c>
      <c r="S7" s="39">
        <v>5</v>
      </c>
      <c r="T7" s="39"/>
      <c r="U7" s="39">
        <v>19</v>
      </c>
      <c r="V7" s="39">
        <v>6</v>
      </c>
      <c r="W7" s="39"/>
      <c r="X7" s="39">
        <v>2</v>
      </c>
      <c r="Y7" s="39">
        <v>5</v>
      </c>
      <c r="Z7" s="39">
        <v>3</v>
      </c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7"/>
      <c r="AN7" s="37"/>
      <c r="AO7" s="37"/>
      <c r="AP7" s="37"/>
      <c r="AQ7" s="37"/>
    </row>
    <row r="8" s="7" customFormat="1" ht="19.95" customHeight="1" spans="1:43">
      <c r="A8" s="32" t="s">
        <v>43</v>
      </c>
      <c r="B8" s="7">
        <v>19</v>
      </c>
      <c r="C8" s="33">
        <v>1</v>
      </c>
      <c r="D8" s="33">
        <f t="shared" si="0"/>
        <v>30</v>
      </c>
      <c r="E8" s="34">
        <f>GETPIVOTDATA("Qte.Estoque",$A$5,"Nome do Produto","MICROTUBO FLUORETO 0,5ML TAMPA CINZA")/C8</f>
        <v>19</v>
      </c>
      <c r="F8" s="38">
        <f t="shared" ref="F8:F24" si="1">E8/30</f>
        <v>0.633333333333333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37"/>
      <c r="AN8" s="37"/>
      <c r="AO8" s="37"/>
      <c r="AP8" s="37"/>
      <c r="AQ8" s="37"/>
    </row>
    <row r="9" s="7" customFormat="1" ht="19.95" customHeight="1" spans="1:43">
      <c r="A9" s="32" t="s">
        <v>44</v>
      </c>
      <c r="B9" s="7">
        <v>60</v>
      </c>
      <c r="C9" s="33">
        <v>1</v>
      </c>
      <c r="D9" s="33">
        <f t="shared" si="0"/>
        <v>30</v>
      </c>
      <c r="E9" s="34">
        <f>GETPIVOTDATA("Qte.Estoque",$A$5,"Nome do Produto","MICROTUBO HEPARINA 0,5ML TAMPA VERDE")/C9</f>
        <v>60</v>
      </c>
      <c r="F9" s="38">
        <f t="shared" si="1"/>
        <v>2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7"/>
      <c r="AN9" s="37"/>
      <c r="AO9" s="37"/>
      <c r="AP9" s="37"/>
      <c r="AQ9" s="37"/>
    </row>
    <row r="10" s="7" customFormat="1" ht="19.95" customHeight="1" spans="1:43">
      <c r="A10" s="32" t="s">
        <v>45</v>
      </c>
      <c r="B10" s="7">
        <v>5750</v>
      </c>
      <c r="C10" s="33">
        <v>136</v>
      </c>
      <c r="D10" s="33">
        <f t="shared" si="0"/>
        <v>4080</v>
      </c>
      <c r="E10" s="34">
        <f>GETPIVOTDATA("Qte.Estoque",$A$5,"Nome do Produto","MICROTUBO K2 EDTA 0,5ML TAMPA ROXA")/C10</f>
        <v>42.2794117647059</v>
      </c>
      <c r="F10" s="38">
        <f t="shared" si="1"/>
        <v>1.4093137254902</v>
      </c>
      <c r="G10" s="41"/>
      <c r="H10" s="40"/>
      <c r="I10" s="40">
        <v>3</v>
      </c>
      <c r="J10" s="40">
        <v>6</v>
      </c>
      <c r="K10" s="40">
        <v>1</v>
      </c>
      <c r="L10" s="40"/>
      <c r="M10" s="40">
        <v>6</v>
      </c>
      <c r="N10" s="40">
        <v>1</v>
      </c>
      <c r="O10" s="40">
        <v>13</v>
      </c>
      <c r="P10" s="40"/>
      <c r="Q10" s="40">
        <v>24</v>
      </c>
      <c r="R10" s="40">
        <v>5</v>
      </c>
      <c r="S10" s="40">
        <v>4</v>
      </c>
      <c r="T10" s="40">
        <v>3</v>
      </c>
      <c r="U10" s="40">
        <v>14</v>
      </c>
      <c r="V10" s="40">
        <v>4</v>
      </c>
      <c r="W10" s="40"/>
      <c r="X10" s="40">
        <v>4</v>
      </c>
      <c r="Y10" s="40">
        <v>8</v>
      </c>
      <c r="Z10" s="40">
        <v>7</v>
      </c>
      <c r="AA10" s="40"/>
      <c r="AB10" s="40"/>
      <c r="AC10" s="40"/>
      <c r="AD10" s="40">
        <v>1</v>
      </c>
      <c r="AE10" s="40"/>
      <c r="AF10" s="40"/>
      <c r="AG10" s="40"/>
      <c r="AH10" s="40"/>
      <c r="AI10" s="40">
        <v>6</v>
      </c>
      <c r="AJ10" s="40">
        <v>4</v>
      </c>
      <c r="AK10" s="40">
        <v>3</v>
      </c>
      <c r="AL10" s="40"/>
      <c r="AM10" s="37"/>
      <c r="AN10" s="37"/>
      <c r="AO10" s="37"/>
      <c r="AP10" s="37"/>
      <c r="AQ10" s="37"/>
    </row>
    <row r="11" s="7" customFormat="1" ht="19.95" customHeight="1" spans="1:43">
      <c r="A11" s="32" t="s">
        <v>46</v>
      </c>
      <c r="B11" s="7">
        <v>42200</v>
      </c>
      <c r="C11" s="33">
        <v>1269</v>
      </c>
      <c r="D11" s="33">
        <f t="shared" si="0"/>
        <v>38070</v>
      </c>
      <c r="E11" s="34">
        <f>GETPIVOTDATA("Qte.Estoque",$A$5,"Nome do Produto","TUBO ATIV. DE COAGULO 4.0ML TAMPA VERM")/C11</f>
        <v>33.2545311268716</v>
      </c>
      <c r="F11" s="38">
        <f t="shared" si="1"/>
        <v>1.10848437089572</v>
      </c>
      <c r="H11" s="39"/>
      <c r="I11" s="42">
        <v>1401</v>
      </c>
      <c r="J11" s="39">
        <v>2953</v>
      </c>
      <c r="K11" s="39">
        <v>721</v>
      </c>
      <c r="L11" s="39">
        <v>300</v>
      </c>
      <c r="M11" s="39">
        <v>879</v>
      </c>
      <c r="N11" s="39">
        <v>305</v>
      </c>
      <c r="O11" s="39">
        <v>17</v>
      </c>
      <c r="P11" s="39"/>
      <c r="Q11" s="39">
        <v>911</v>
      </c>
      <c r="R11" s="39">
        <v>512</v>
      </c>
      <c r="S11" s="39">
        <v>509</v>
      </c>
      <c r="T11" s="39">
        <v>105</v>
      </c>
      <c r="U11" s="39">
        <v>8</v>
      </c>
      <c r="V11" s="39">
        <v>930</v>
      </c>
      <c r="W11" s="39">
        <v>210</v>
      </c>
      <c r="X11" s="39">
        <v>336</v>
      </c>
      <c r="Y11" s="39">
        <v>721</v>
      </c>
      <c r="Z11" s="39"/>
      <c r="AA11" s="39"/>
      <c r="AB11" s="39">
        <v>800</v>
      </c>
      <c r="AC11" s="39"/>
      <c r="AD11" s="39">
        <v>900</v>
      </c>
      <c r="AE11" s="39">
        <v>100</v>
      </c>
      <c r="AF11" s="39">
        <v>100</v>
      </c>
      <c r="AG11" s="39">
        <v>300</v>
      </c>
      <c r="AH11" s="39">
        <v>300</v>
      </c>
      <c r="AI11" s="39">
        <v>620</v>
      </c>
      <c r="AJ11" s="39">
        <v>12</v>
      </c>
      <c r="AK11" s="39">
        <v>100</v>
      </c>
      <c r="AL11" s="39">
        <v>2</v>
      </c>
      <c r="AM11" s="37"/>
      <c r="AN11" s="37"/>
      <c r="AO11" s="37"/>
      <c r="AP11" s="37"/>
      <c r="AQ11" s="37"/>
    </row>
    <row r="12" s="7" customFormat="1" ht="19.95" customHeight="1" spans="1:43">
      <c r="A12" s="32" t="s">
        <v>47</v>
      </c>
      <c r="B12" s="7">
        <v>1900</v>
      </c>
      <c r="C12" s="33">
        <v>0</v>
      </c>
      <c r="D12" s="33">
        <f t="shared" si="0"/>
        <v>0</v>
      </c>
      <c r="E12" s="34">
        <v>0</v>
      </c>
      <c r="F12" s="38">
        <f t="shared" si="1"/>
        <v>0</v>
      </c>
      <c r="H12" s="40"/>
      <c r="I12" s="40">
        <v>1</v>
      </c>
      <c r="J12" s="40">
        <v>1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37"/>
      <c r="AN12" s="37"/>
      <c r="AO12" s="37"/>
      <c r="AP12" s="37"/>
      <c r="AQ12" s="37"/>
    </row>
    <row r="13" s="7" customFormat="1" ht="19.95" customHeight="1" spans="1:43">
      <c r="A13" s="32" t="s">
        <v>48</v>
      </c>
      <c r="B13" s="7">
        <v>22400</v>
      </c>
      <c r="C13" s="33">
        <v>76</v>
      </c>
      <c r="D13" s="33">
        <f t="shared" si="0"/>
        <v>2280</v>
      </c>
      <c r="E13" s="34">
        <f>GETPIVOTDATA("Qte.Estoque",$A$5,"Nome do Produto","TUBO CITRATO DE SODIO 3,6ML TAMPA AZUL")/C13</f>
        <v>294.736842105263</v>
      </c>
      <c r="F13" s="38">
        <f t="shared" si="1"/>
        <v>9.82456140350877</v>
      </c>
      <c r="H13" s="39"/>
      <c r="I13" s="39">
        <v>1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7"/>
      <c r="AN13" s="37"/>
      <c r="AO13" s="37"/>
      <c r="AP13" s="37"/>
      <c r="AQ13" s="37"/>
    </row>
    <row r="14" s="7" customFormat="1" ht="19.95" customHeight="1" spans="1:43">
      <c r="A14" s="32" t="s">
        <v>49</v>
      </c>
      <c r="B14" s="7">
        <v>5100</v>
      </c>
      <c r="C14" s="33">
        <v>247</v>
      </c>
      <c r="D14" s="33">
        <f t="shared" si="0"/>
        <v>7410</v>
      </c>
      <c r="E14" s="34">
        <f>GETPIVOTDATA("Qte.Estoque",$A$5,"Nome do Produto","TUBO CITRATO TRISSODICO PAREDE DUPLA 2.7ML")/C14</f>
        <v>20.6477732793522</v>
      </c>
      <c r="F14" s="38">
        <f t="shared" si="1"/>
        <v>0.688259109311741</v>
      </c>
      <c r="H14" s="40">
        <v>1</v>
      </c>
      <c r="I14" s="40">
        <v>6</v>
      </c>
      <c r="J14" s="40">
        <v>43</v>
      </c>
      <c r="K14" s="40">
        <v>2</v>
      </c>
      <c r="L14" s="40"/>
      <c r="M14" s="40">
        <v>65</v>
      </c>
      <c r="N14" s="40"/>
      <c r="O14" s="40">
        <v>8</v>
      </c>
      <c r="P14" s="40"/>
      <c r="Q14" s="40">
        <v>2</v>
      </c>
      <c r="R14" s="40"/>
      <c r="S14" s="40">
        <v>6</v>
      </c>
      <c r="T14" s="40"/>
      <c r="U14" s="40"/>
      <c r="V14" s="40"/>
      <c r="W14" s="40">
        <v>4</v>
      </c>
      <c r="X14" s="40">
        <v>6</v>
      </c>
      <c r="Y14" s="40">
        <v>2</v>
      </c>
      <c r="Z14" s="40">
        <v>4</v>
      </c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37"/>
      <c r="AN14" s="37"/>
      <c r="AO14" s="37"/>
      <c r="AP14" s="37"/>
      <c r="AQ14" s="37"/>
    </row>
    <row r="15" s="7" customFormat="1" ht="19.95" customHeight="1" spans="1:43">
      <c r="A15" s="32" t="s">
        <v>50</v>
      </c>
      <c r="B15" s="7">
        <v>200</v>
      </c>
      <c r="C15" s="33">
        <v>69</v>
      </c>
      <c r="D15" s="33">
        <f t="shared" si="0"/>
        <v>2070</v>
      </c>
      <c r="E15" s="34">
        <f>GETPIVOTDATA("Qte.Estoque",$A$5,"Nome do Produto","TUBO COM GEL SEPARADOR 3,5ML TAMPA AMAR")/C15</f>
        <v>2.89855072463768</v>
      </c>
      <c r="F15" s="38">
        <f t="shared" si="1"/>
        <v>0.0966183574879227</v>
      </c>
      <c r="H15" s="39"/>
      <c r="I15" s="43">
        <v>1000</v>
      </c>
      <c r="J15" s="39"/>
      <c r="K15" s="39"/>
      <c r="L15" s="39"/>
      <c r="M15" s="39"/>
      <c r="N15" s="39">
        <v>100</v>
      </c>
      <c r="O15" s="39">
        <v>585</v>
      </c>
      <c r="P15" s="43">
        <v>1000</v>
      </c>
      <c r="Q15" s="39"/>
      <c r="R15" s="43">
        <v>2000</v>
      </c>
      <c r="S15" s="39"/>
      <c r="T15" s="39"/>
      <c r="U15" s="39"/>
      <c r="V15" s="39"/>
      <c r="W15" s="39"/>
      <c r="X15" s="39"/>
      <c r="Y15" s="39"/>
      <c r="Z15" s="39">
        <v>100</v>
      </c>
      <c r="AA15" s="39"/>
      <c r="AB15" s="39"/>
      <c r="AC15" s="39"/>
      <c r="AD15" s="39"/>
      <c r="AE15" s="39">
        <v>115</v>
      </c>
      <c r="AF15" s="39">
        <v>315</v>
      </c>
      <c r="AG15" s="39"/>
      <c r="AH15" s="39"/>
      <c r="AI15" s="39">
        <v>200</v>
      </c>
      <c r="AJ15" s="39"/>
      <c r="AK15" s="39">
        <v>100</v>
      </c>
      <c r="AL15" s="39"/>
      <c r="AM15" s="37"/>
      <c r="AN15" s="37"/>
      <c r="AO15" s="37"/>
      <c r="AP15" s="37"/>
      <c r="AQ15" s="37"/>
    </row>
    <row r="16" s="7" customFormat="1" ht="19.95" customHeight="1" spans="1:43">
      <c r="A16" s="32" t="s">
        <v>51</v>
      </c>
      <c r="B16" s="7">
        <v>900</v>
      </c>
      <c r="C16" s="33">
        <v>37</v>
      </c>
      <c r="D16" s="33">
        <f t="shared" si="0"/>
        <v>1110</v>
      </c>
      <c r="E16" s="34">
        <f>GETPIVOTDATA("Qte.Estoque",$A$5,"Nome do Produto","TUBO COM GEL SEPARADOR 8.5ML ")/C16</f>
        <v>24.3243243243243</v>
      </c>
      <c r="F16" s="38">
        <f t="shared" si="1"/>
        <v>0.810810810810811</v>
      </c>
      <c r="H16" s="40"/>
      <c r="I16" s="40">
        <v>900</v>
      </c>
      <c r="J16" s="40"/>
      <c r="K16" s="40"/>
      <c r="L16" s="40"/>
      <c r="M16" s="40"/>
      <c r="N16" s="40">
        <v>900</v>
      </c>
      <c r="O16" s="40"/>
      <c r="P16" s="40"/>
      <c r="Q16" s="40"/>
      <c r="R16" s="44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>
        <v>100</v>
      </c>
      <c r="AH16" s="40"/>
      <c r="AI16" s="40"/>
      <c r="AJ16" s="40"/>
      <c r="AK16" s="40"/>
      <c r="AL16" s="40"/>
      <c r="AM16" s="37"/>
      <c r="AN16" s="37"/>
      <c r="AO16" s="37"/>
      <c r="AP16" s="37"/>
      <c r="AQ16" s="37"/>
    </row>
    <row r="17" s="7" customFormat="1" ht="19.95" customHeight="1" spans="1:43">
      <c r="A17" s="32" t="s">
        <v>52</v>
      </c>
      <c r="B17" s="7">
        <v>1794</v>
      </c>
      <c r="C17" s="33">
        <v>3</v>
      </c>
      <c r="D17" s="33">
        <f t="shared" si="0"/>
        <v>90</v>
      </c>
      <c r="E17" s="34">
        <f>GETPIVOTDATA("Qte.Estoque",$A$5,"Nome do Produto","TUBO DE HEPARINA 4ML TAMPA VERDE ")/C17</f>
        <v>598</v>
      </c>
      <c r="F17" s="38">
        <f t="shared" si="1"/>
        <v>19.9333333333333</v>
      </c>
      <c r="H17" s="39"/>
      <c r="I17" s="39">
        <v>100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7"/>
      <c r="AN17" s="37"/>
      <c r="AO17" s="37"/>
      <c r="AP17" s="37"/>
      <c r="AQ17" s="37"/>
    </row>
    <row r="18" s="7" customFormat="1" ht="19.95" customHeight="1" spans="1:43">
      <c r="A18" s="32" t="s">
        <v>53</v>
      </c>
      <c r="B18" s="7">
        <v>14300</v>
      </c>
      <c r="C18" s="33">
        <v>350</v>
      </c>
      <c r="D18" s="33">
        <f t="shared" si="0"/>
        <v>10500</v>
      </c>
      <c r="E18" s="34">
        <f>GETPIVOTDATA("Qte.Estoque",$A$5,"Nome do Produto","TUBO EDTA  2.0ML TAMPA ROXA")/C18</f>
        <v>40.8571428571429</v>
      </c>
      <c r="F18" s="38">
        <f t="shared" si="1"/>
        <v>1.36190476190476</v>
      </c>
      <c r="H18" s="40"/>
      <c r="I18" s="40">
        <v>105</v>
      </c>
      <c r="J18" s="40">
        <v>657</v>
      </c>
      <c r="K18" s="40">
        <v>401</v>
      </c>
      <c r="L18" s="40"/>
      <c r="M18" s="40">
        <v>211</v>
      </c>
      <c r="N18" s="40">
        <v>400</v>
      </c>
      <c r="O18" s="40">
        <v>421</v>
      </c>
      <c r="P18" s="40"/>
      <c r="Q18" s="40">
        <v>811</v>
      </c>
      <c r="R18" s="40">
        <v>414</v>
      </c>
      <c r="S18" s="40">
        <v>607</v>
      </c>
      <c r="T18" s="40">
        <v>3</v>
      </c>
      <c r="U18" s="40">
        <v>9</v>
      </c>
      <c r="V18" s="40">
        <v>804</v>
      </c>
      <c r="W18" s="40">
        <v>317</v>
      </c>
      <c r="X18" s="44">
        <v>1434</v>
      </c>
      <c r="Y18" s="40">
        <v>443</v>
      </c>
      <c r="Z18" s="40">
        <v>206</v>
      </c>
      <c r="AA18" s="40"/>
      <c r="AB18" s="40"/>
      <c r="AC18" s="40"/>
      <c r="AD18" s="40"/>
      <c r="AE18" s="40">
        <v>100</v>
      </c>
      <c r="AF18" s="40"/>
      <c r="AG18" s="40"/>
      <c r="AH18" s="40"/>
      <c r="AI18" s="40">
        <v>400</v>
      </c>
      <c r="AJ18" s="40">
        <v>500</v>
      </c>
      <c r="AK18" s="40">
        <v>1</v>
      </c>
      <c r="AL18" s="40"/>
      <c r="AM18" s="37"/>
      <c r="AN18" s="37"/>
      <c r="AO18" s="37"/>
      <c r="AP18" s="37"/>
      <c r="AQ18" s="37"/>
    </row>
    <row r="19" s="7" customFormat="1" ht="19.95" customHeight="1" spans="1:43">
      <c r="A19" s="32" t="s">
        <v>54</v>
      </c>
      <c r="B19" s="7">
        <v>30000</v>
      </c>
      <c r="C19" s="33">
        <v>776</v>
      </c>
      <c r="D19" s="33">
        <f t="shared" si="0"/>
        <v>23280</v>
      </c>
      <c r="E19" s="34">
        <f>GETPIVOTDATA("Qte.Estoque",$A$5,"Nome do Produto","TUBO EDTA  4.0ML TAMPA ROXA")/C19</f>
        <v>38.659793814433</v>
      </c>
      <c r="F19" s="38">
        <f t="shared" si="1"/>
        <v>1.28865979381443</v>
      </c>
      <c r="H19" s="39">
        <v>400</v>
      </c>
      <c r="I19" s="43">
        <v>1407</v>
      </c>
      <c r="J19" s="39">
        <v>6620</v>
      </c>
      <c r="K19" s="43">
        <v>3262</v>
      </c>
      <c r="L19" s="39">
        <v>2</v>
      </c>
      <c r="M19" s="43">
        <v>4301</v>
      </c>
      <c r="N19" s="39">
        <v>400</v>
      </c>
      <c r="O19" s="39">
        <v>600</v>
      </c>
      <c r="P19" s="39">
        <v>17</v>
      </c>
      <c r="Q19" s="43">
        <v>1721</v>
      </c>
      <c r="R19" s="43">
        <v>1017</v>
      </c>
      <c r="S19" s="43">
        <v>1448</v>
      </c>
      <c r="T19" s="39">
        <v>206</v>
      </c>
      <c r="U19" s="39">
        <v>403</v>
      </c>
      <c r="V19" s="43">
        <v>2018</v>
      </c>
      <c r="W19" s="43">
        <v>1029</v>
      </c>
      <c r="X19" s="39">
        <v>20</v>
      </c>
      <c r="Y19" s="39">
        <v>413</v>
      </c>
      <c r="Z19" s="39"/>
      <c r="AA19" s="39"/>
      <c r="AB19" s="39">
        <v>500</v>
      </c>
      <c r="AC19" s="39"/>
      <c r="AD19" s="39">
        <v>800</v>
      </c>
      <c r="AE19" s="39">
        <v>100</v>
      </c>
      <c r="AF19" s="39">
        <v>500</v>
      </c>
      <c r="AG19" s="39"/>
      <c r="AH19" s="39">
        <v>100</v>
      </c>
      <c r="AI19" s="39">
        <v>716</v>
      </c>
      <c r="AJ19" s="39">
        <v>800</v>
      </c>
      <c r="AK19" s="39">
        <v>200</v>
      </c>
      <c r="AL19" s="39">
        <v>2</v>
      </c>
      <c r="AM19" s="37"/>
      <c r="AN19" s="37"/>
      <c r="AO19" s="37"/>
      <c r="AP19" s="37"/>
      <c r="AQ19" s="37"/>
    </row>
    <row r="20" s="7" customFormat="1" ht="19.95" customHeight="1" spans="1:43">
      <c r="A20" s="32" t="s">
        <v>55</v>
      </c>
      <c r="B20" s="7">
        <v>600</v>
      </c>
      <c r="C20" s="33">
        <v>61</v>
      </c>
      <c r="D20" s="33">
        <f t="shared" si="0"/>
        <v>1830</v>
      </c>
      <c r="E20" s="34">
        <f>GETPIVOTDATA("Qte.Estoque",$A$5,"Nome do Produto","TUBO FLUORETO 4ML TAMPA CINZA ")/C20</f>
        <v>9.83606557377049</v>
      </c>
      <c r="F20" s="38">
        <f t="shared" si="1"/>
        <v>0.327868852459016</v>
      </c>
      <c r="H20" s="40">
        <v>1</v>
      </c>
      <c r="I20" s="40">
        <v>2</v>
      </c>
      <c r="J20" s="40"/>
      <c r="K20" s="40"/>
      <c r="L20" s="40"/>
      <c r="M20" s="40"/>
      <c r="N20" s="40">
        <v>4</v>
      </c>
      <c r="O20" s="40"/>
      <c r="P20" s="40"/>
      <c r="Q20" s="40"/>
      <c r="R20" s="40">
        <v>1</v>
      </c>
      <c r="S20" s="40"/>
      <c r="T20" s="40"/>
      <c r="U20" s="40"/>
      <c r="V20" s="40"/>
      <c r="W20" s="40"/>
      <c r="X20" s="40"/>
      <c r="Y20" s="40"/>
      <c r="Z20" s="40"/>
      <c r="AA20" s="40"/>
      <c r="AB20" s="40">
        <v>3</v>
      </c>
      <c r="AC20" s="40"/>
      <c r="AD20" s="40">
        <v>2</v>
      </c>
      <c r="AE20" s="40">
        <v>1</v>
      </c>
      <c r="AF20" s="40">
        <v>2</v>
      </c>
      <c r="AG20" s="40">
        <v>1</v>
      </c>
      <c r="AH20" s="40">
        <v>1</v>
      </c>
      <c r="AI20" s="40">
        <v>3</v>
      </c>
      <c r="AJ20" s="40"/>
      <c r="AK20" s="40"/>
      <c r="AL20" s="40"/>
      <c r="AM20" s="37"/>
      <c r="AN20" s="37"/>
      <c r="AO20" s="37"/>
      <c r="AP20" s="37"/>
      <c r="AQ20" s="37"/>
    </row>
    <row r="21" s="7" customFormat="1" ht="19.95" customHeight="1" spans="1:43">
      <c r="A21" s="32" t="s">
        <v>56</v>
      </c>
      <c r="B21" s="7">
        <v>0</v>
      </c>
      <c r="C21" s="33">
        <v>2</v>
      </c>
      <c r="D21" s="33">
        <f t="shared" si="0"/>
        <v>60</v>
      </c>
      <c r="E21" s="34">
        <f>GETPIVOTDATA("Qte.Estoque",$A$5,"Nome do Produto","TUBO S/ ADITIVO 9 ML TAMPA BRANCA")/C21</f>
        <v>0</v>
      </c>
      <c r="F21" s="38">
        <f t="shared" si="1"/>
        <v>0</v>
      </c>
      <c r="H21" s="39">
        <v>1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>
        <v>1</v>
      </c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7"/>
      <c r="AN21" s="37"/>
      <c r="AO21" s="37"/>
      <c r="AP21" s="37"/>
      <c r="AQ21" s="37"/>
    </row>
    <row r="22" s="7" customFormat="1" ht="19.95" customHeight="1" spans="1:43">
      <c r="A22" s="32" t="s">
        <v>57</v>
      </c>
      <c r="B22" s="7">
        <v>400</v>
      </c>
      <c r="C22" s="33">
        <v>2</v>
      </c>
      <c r="D22" s="33">
        <f t="shared" si="0"/>
        <v>60</v>
      </c>
      <c r="E22" s="34">
        <f>GETPIVOTDATA("Qte.Estoque",$A$5,"Nome do Produto","TUBO S/ADITIVO 3.0ML TAMPA BRANCA")/C22</f>
        <v>200</v>
      </c>
      <c r="F22" s="38">
        <f t="shared" si="1"/>
        <v>6.66666666666667</v>
      </c>
      <c r="H22" s="40"/>
      <c r="I22" s="40">
        <v>100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37"/>
      <c r="AN22" s="37"/>
      <c r="AO22" s="37"/>
      <c r="AP22" s="37"/>
      <c r="AQ22" s="37"/>
    </row>
    <row r="23" s="7" customFormat="1" ht="19.95" customHeight="1" spans="1:43">
      <c r="A23" s="32" t="s">
        <v>58</v>
      </c>
      <c r="B23" s="7">
        <v>8000</v>
      </c>
      <c r="C23" s="33">
        <v>103</v>
      </c>
      <c r="D23" s="33">
        <f t="shared" si="0"/>
        <v>3090</v>
      </c>
      <c r="E23" s="34">
        <f>GETPIVOTDATA("Qte.Estoque",$A$5,"Nome do Produto","TUBO S/ADITIVO 4ML TAMPA BRANCA")/C23</f>
        <v>77.6699029126214</v>
      </c>
      <c r="F23" s="38">
        <f t="shared" si="1"/>
        <v>2.58899676375405</v>
      </c>
      <c r="H23" s="39"/>
      <c r="I23" s="39">
        <v>1</v>
      </c>
      <c r="J23" s="39">
        <v>11</v>
      </c>
      <c r="K23" s="39">
        <v>3</v>
      </c>
      <c r="L23" s="39"/>
      <c r="M23" s="39">
        <v>4</v>
      </c>
      <c r="N23" s="39"/>
      <c r="O23" s="39">
        <v>6</v>
      </c>
      <c r="P23" s="39"/>
      <c r="Q23" s="39">
        <v>4</v>
      </c>
      <c r="R23" s="39"/>
      <c r="S23" s="39">
        <v>2</v>
      </c>
      <c r="T23" s="39">
        <v>2</v>
      </c>
      <c r="U23" s="39">
        <v>3</v>
      </c>
      <c r="V23" s="39"/>
      <c r="W23" s="39">
        <v>6</v>
      </c>
      <c r="X23" s="39">
        <v>5</v>
      </c>
      <c r="Y23" s="39">
        <v>5</v>
      </c>
      <c r="Z23" s="39">
        <v>1</v>
      </c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7"/>
      <c r="AN23" s="37"/>
      <c r="AO23" s="37"/>
      <c r="AP23" s="37"/>
      <c r="AQ23" s="37"/>
    </row>
    <row r="24" s="7" customFormat="1" ht="19.95" customHeight="1" spans="1:43">
      <c r="A24" s="32" t="s">
        <v>59</v>
      </c>
      <c r="B24" s="7">
        <v>900</v>
      </c>
      <c r="C24" s="33">
        <v>37</v>
      </c>
      <c r="D24" s="33">
        <f t="shared" si="0"/>
        <v>1110</v>
      </c>
      <c r="E24" s="34">
        <f>GETPIVOTDATA("Qte.Estoque",$A$5,"Nome do Produto","TUBO SORO 10ML TAMPA VERM")/C24</f>
        <v>24.3243243243243</v>
      </c>
      <c r="F24" s="38">
        <f t="shared" si="1"/>
        <v>0.810810810810811</v>
      </c>
      <c r="H24" s="45"/>
      <c r="I24" s="46">
        <v>1500</v>
      </c>
      <c r="J24" s="45"/>
      <c r="K24" s="45"/>
      <c r="L24" s="45"/>
      <c r="M24" s="45"/>
      <c r="N24" s="45">
        <v>200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>
        <v>300</v>
      </c>
      <c r="AG24" s="45"/>
      <c r="AH24" s="45"/>
      <c r="AI24" s="45"/>
      <c r="AJ24" s="45"/>
      <c r="AK24" s="45"/>
      <c r="AL24" s="45"/>
      <c r="AM24" s="37"/>
      <c r="AN24" s="37"/>
      <c r="AO24" s="37"/>
      <c r="AP24" s="37"/>
      <c r="AQ24" s="37"/>
    </row>
    <row r="25" s="7" customFormat="1" ht="19.95" customHeight="1" spans="1:43">
      <c r="A25" s="47" t="s">
        <v>60</v>
      </c>
      <c r="B25" s="7">
        <v>162223</v>
      </c>
      <c r="H25" s="48">
        <f>SUM(H6:H24)</f>
        <v>403</v>
      </c>
      <c r="I25" s="49">
        <f>SUM(I6:I24)</f>
        <v>6533</v>
      </c>
      <c r="J25" s="50">
        <f>SUM(J6:J24)</f>
        <v>10299</v>
      </c>
      <c r="K25" s="50">
        <f t="shared" ref="K25:Z25" si="2">SUM(K6:K24)</f>
        <v>4394</v>
      </c>
      <c r="L25" s="50">
        <f t="shared" si="2"/>
        <v>302</v>
      </c>
      <c r="M25" s="50">
        <f t="shared" si="2"/>
        <v>5472</v>
      </c>
      <c r="N25" s="50">
        <f t="shared" si="2"/>
        <v>2311</v>
      </c>
      <c r="O25" s="50">
        <f t="shared" si="2"/>
        <v>1679</v>
      </c>
      <c r="P25" s="50">
        <f t="shared" si="2"/>
        <v>1017</v>
      </c>
      <c r="Q25" s="50">
        <f t="shared" si="2"/>
        <v>3492</v>
      </c>
      <c r="R25" s="50">
        <f t="shared" si="2"/>
        <v>3955</v>
      </c>
      <c r="S25" s="50">
        <f t="shared" si="2"/>
        <v>2583</v>
      </c>
      <c r="T25" s="50">
        <f t="shared" si="2"/>
        <v>320</v>
      </c>
      <c r="U25" s="50">
        <f t="shared" si="2"/>
        <v>456</v>
      </c>
      <c r="V25" s="50">
        <f t="shared" si="2"/>
        <v>3764</v>
      </c>
      <c r="W25" s="50">
        <f t="shared" si="2"/>
        <v>1566</v>
      </c>
      <c r="X25" s="50">
        <f t="shared" si="2"/>
        <v>1807</v>
      </c>
      <c r="Y25" s="50">
        <f t="shared" si="2"/>
        <v>1597</v>
      </c>
      <c r="Z25" s="50">
        <f t="shared" si="2"/>
        <v>321</v>
      </c>
      <c r="AA25" s="50"/>
      <c r="AB25" s="50">
        <f>SUM(AB6:AB24)</f>
        <v>1303</v>
      </c>
      <c r="AC25" s="50">
        <v>0</v>
      </c>
      <c r="AD25" s="50">
        <f t="shared" ref="AD25:AL25" si="3">SUM(AD6:AD24)</f>
        <v>1703</v>
      </c>
      <c r="AE25" s="50">
        <f t="shared" si="3"/>
        <v>416</v>
      </c>
      <c r="AF25" s="50">
        <f t="shared" si="3"/>
        <v>1217</v>
      </c>
      <c r="AG25" s="50">
        <f t="shared" si="3"/>
        <v>401</v>
      </c>
      <c r="AH25" s="50">
        <f t="shared" si="3"/>
        <v>401</v>
      </c>
      <c r="AI25" s="50">
        <f t="shared" si="3"/>
        <v>1945</v>
      </c>
      <c r="AJ25" s="50">
        <f t="shared" si="3"/>
        <v>1316</v>
      </c>
      <c r="AK25" s="50">
        <f t="shared" si="3"/>
        <v>404</v>
      </c>
      <c r="AL25" s="51">
        <f t="shared" si="3"/>
        <v>4</v>
      </c>
      <c r="AM25" s="37"/>
      <c r="AN25" s="37"/>
      <c r="AO25" s="37"/>
      <c r="AP25" s="37"/>
      <c r="AQ25" s="37"/>
    </row>
    <row r="26" ht="19.95" customHeight="1" spans="1:43">
      <c r="H26" s="52" t="s">
        <v>61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</row>
  </sheetData>
  <mergeCells count="5">
    <mergeCell ref="A2:F2"/>
    <mergeCell ref="H2:AL2"/>
    <mergeCell ref="A3:F3"/>
    <mergeCell ref="H3:AL3"/>
    <mergeCell ref="H26:AL26"/>
  </mergeCells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8" workbookViewId="0">
      <selection activeCell="I12" sqref="I12"/>
    </sheetView>
  </sheetViews>
  <sheetFormatPr defaultColWidth="9" defaultRowHeight="13.8" outlineLevelCol="7"/>
  <cols>
    <col min="1" max="1" width="14.3333333333333" customWidth="1"/>
    <col min="2" max="2" width="13.5583333333333" customWidth="1"/>
    <col min="3" max="3" width="52.4416666666667" customWidth="1"/>
    <col min="4" max="4" width="10.8833333333333" customWidth="1"/>
    <col min="6" max="6" width="14.1083333333333" customWidth="1"/>
    <col min="7" max="7" width="13.1083333333333" customWidth="1"/>
    <col min="8" max="8" width="16.6666666666667" customWidth="1"/>
  </cols>
  <sheetData>
    <row r="1" spans="1:8">
      <c r="A1" s="1"/>
      <c r="B1" s="1"/>
      <c r="C1" s="1"/>
      <c r="D1" s="1"/>
      <c r="E1" s="1"/>
      <c r="F1" s="1"/>
    </row>
    <row r="2" spans="1:8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</row>
    <row r="3" spans="1:8">
      <c r="A3" s="3">
        <v>3557</v>
      </c>
      <c r="B3" s="3">
        <v>10028</v>
      </c>
      <c r="C3" s="2" t="s">
        <v>41</v>
      </c>
      <c r="D3" s="2" t="s">
        <v>68</v>
      </c>
      <c r="E3" s="2" t="s">
        <v>69</v>
      </c>
      <c r="F3" s="2">
        <v>300</v>
      </c>
      <c r="G3" t="s">
        <v>70</v>
      </c>
      <c r="H3" t="s">
        <v>71</v>
      </c>
    </row>
    <row r="4" spans="1:8">
      <c r="A4" s="3">
        <v>7331</v>
      </c>
      <c r="B4" s="3">
        <v>365978</v>
      </c>
      <c r="C4" s="2" t="s">
        <v>41</v>
      </c>
      <c r="D4" s="2" t="s">
        <v>72</v>
      </c>
      <c r="E4" s="2" t="s">
        <v>69</v>
      </c>
      <c r="F4" s="2">
        <v>200</v>
      </c>
      <c r="G4" t="s">
        <v>70</v>
      </c>
      <c r="H4" t="s">
        <v>71</v>
      </c>
    </row>
    <row r="5" spans="1:8">
      <c r="A5" s="3">
        <v>469</v>
      </c>
      <c r="B5" s="3" t="s">
        <v>73</v>
      </c>
      <c r="C5" s="2" t="s">
        <v>41</v>
      </c>
      <c r="D5" s="2" t="s">
        <v>74</v>
      </c>
      <c r="E5" s="2" t="s">
        <v>69</v>
      </c>
      <c r="F5" s="2">
        <v>950</v>
      </c>
      <c r="G5" t="s">
        <v>70</v>
      </c>
      <c r="H5" t="s">
        <v>71</v>
      </c>
    </row>
    <row r="6" spans="1:8">
      <c r="A6" s="3">
        <v>3526</v>
      </c>
      <c r="B6" s="3">
        <v>10030</v>
      </c>
      <c r="C6" s="2" t="s">
        <v>42</v>
      </c>
      <c r="D6" s="2" t="s">
        <v>68</v>
      </c>
      <c r="E6" s="2" t="s">
        <v>69</v>
      </c>
      <c r="F6" s="2">
        <v>12100</v>
      </c>
      <c r="G6" t="s">
        <v>70</v>
      </c>
      <c r="H6" t="s">
        <v>71</v>
      </c>
    </row>
    <row r="7" spans="1:8">
      <c r="A7" s="3">
        <v>6705</v>
      </c>
      <c r="B7" s="3" t="s">
        <v>75</v>
      </c>
      <c r="C7" s="2" t="s">
        <v>42</v>
      </c>
      <c r="D7" s="2" t="s">
        <v>76</v>
      </c>
      <c r="E7" s="2" t="s">
        <v>69</v>
      </c>
      <c r="F7" s="2">
        <v>5600</v>
      </c>
      <c r="G7" t="s">
        <v>70</v>
      </c>
      <c r="H7" t="s">
        <v>71</v>
      </c>
    </row>
    <row r="8" spans="1:8">
      <c r="A8" s="3">
        <v>2955</v>
      </c>
      <c r="B8" s="3" t="s">
        <v>77</v>
      </c>
      <c r="C8" s="2" t="s">
        <v>42</v>
      </c>
      <c r="D8" s="2" t="s">
        <v>74</v>
      </c>
      <c r="E8" s="2" t="s">
        <v>69</v>
      </c>
      <c r="F8" s="2">
        <v>8550</v>
      </c>
      <c r="G8" t="s">
        <v>70</v>
      </c>
      <c r="H8" t="s">
        <v>71</v>
      </c>
    </row>
    <row r="9" spans="1:8">
      <c r="A9" s="3">
        <v>7613</v>
      </c>
      <c r="B9" s="3">
        <v>365992</v>
      </c>
      <c r="C9" s="2" t="s">
        <v>43</v>
      </c>
      <c r="D9" s="2" t="s">
        <v>72</v>
      </c>
      <c r="E9" s="2" t="s">
        <v>69</v>
      </c>
      <c r="F9" s="2">
        <v>19</v>
      </c>
      <c r="G9" t="s">
        <v>70</v>
      </c>
      <c r="H9" t="s">
        <v>71</v>
      </c>
    </row>
    <row r="10" spans="1:8">
      <c r="A10" s="3">
        <v>7614</v>
      </c>
      <c r="B10" s="3">
        <v>365965</v>
      </c>
      <c r="C10" s="2" t="s">
        <v>44</v>
      </c>
      <c r="D10" s="2" t="s">
        <v>72</v>
      </c>
      <c r="E10" s="2" t="s">
        <v>69</v>
      </c>
      <c r="F10" s="2">
        <v>60</v>
      </c>
      <c r="G10" t="s">
        <v>70</v>
      </c>
      <c r="H10" t="s">
        <v>71</v>
      </c>
    </row>
    <row r="11" spans="1:8">
      <c r="A11" s="3">
        <v>6706</v>
      </c>
      <c r="B11" s="3" t="s">
        <v>78</v>
      </c>
      <c r="C11" s="2" t="s">
        <v>45</v>
      </c>
      <c r="D11" s="2" t="s">
        <v>76</v>
      </c>
      <c r="E11" s="2" t="s">
        <v>69</v>
      </c>
      <c r="F11" s="2">
        <v>900</v>
      </c>
      <c r="G11" t="s">
        <v>70</v>
      </c>
      <c r="H11" t="s">
        <v>71</v>
      </c>
    </row>
    <row r="12" spans="1:8">
      <c r="A12" s="3">
        <v>7547</v>
      </c>
      <c r="B12" s="3">
        <v>363706</v>
      </c>
      <c r="C12" s="2" t="s">
        <v>45</v>
      </c>
      <c r="D12" s="2" t="s">
        <v>72</v>
      </c>
      <c r="E12" s="2" t="s">
        <v>69</v>
      </c>
      <c r="F12" s="2">
        <v>200</v>
      </c>
      <c r="G12" t="s">
        <v>70</v>
      </c>
      <c r="H12" t="s">
        <v>71</v>
      </c>
    </row>
    <row r="13" spans="1:8">
      <c r="A13" s="3">
        <v>8370</v>
      </c>
      <c r="B13" s="3">
        <v>365974</v>
      </c>
      <c r="C13" s="2" t="s">
        <v>45</v>
      </c>
      <c r="D13" s="2" t="s">
        <v>72</v>
      </c>
      <c r="E13" s="2" t="s">
        <v>69</v>
      </c>
      <c r="F13" s="2">
        <v>150</v>
      </c>
      <c r="G13" t="s">
        <v>70</v>
      </c>
      <c r="H13" t="s">
        <v>71</v>
      </c>
    </row>
    <row r="14" spans="1:8">
      <c r="A14" s="3">
        <v>3527</v>
      </c>
      <c r="B14" s="3">
        <v>10026</v>
      </c>
      <c r="C14" s="2" t="s">
        <v>45</v>
      </c>
      <c r="D14" s="2" t="s">
        <v>68</v>
      </c>
      <c r="E14" s="2" t="s">
        <v>69</v>
      </c>
      <c r="F14" s="2">
        <v>4500</v>
      </c>
      <c r="G14" t="s">
        <v>70</v>
      </c>
      <c r="H14" t="s">
        <v>71</v>
      </c>
    </row>
    <row r="15" spans="1:8">
      <c r="A15" s="3">
        <v>7932</v>
      </c>
      <c r="B15" s="3">
        <v>4259</v>
      </c>
      <c r="C15" s="2" t="s">
        <v>46</v>
      </c>
      <c r="D15" s="2" t="s">
        <v>79</v>
      </c>
      <c r="E15" s="2" t="s">
        <v>69</v>
      </c>
      <c r="F15" s="2">
        <v>2100</v>
      </c>
      <c r="G15" t="s">
        <v>70</v>
      </c>
      <c r="H15" t="s">
        <v>71</v>
      </c>
    </row>
    <row r="16" spans="1:8">
      <c r="A16" s="3">
        <v>3117</v>
      </c>
      <c r="B16" s="3">
        <v>10001</v>
      </c>
      <c r="C16" s="2" t="s">
        <v>46</v>
      </c>
      <c r="D16" s="2" t="s">
        <v>68</v>
      </c>
      <c r="E16" s="2" t="s">
        <v>69</v>
      </c>
      <c r="F16" s="2">
        <v>31300</v>
      </c>
      <c r="G16" t="s">
        <v>70</v>
      </c>
      <c r="H16" t="s">
        <v>71</v>
      </c>
    </row>
    <row r="17" spans="1:8">
      <c r="A17" s="3">
        <v>7336</v>
      </c>
      <c r="B17" s="3">
        <v>360053</v>
      </c>
      <c r="C17" s="2" t="s">
        <v>46</v>
      </c>
      <c r="D17" s="2" t="s">
        <v>72</v>
      </c>
      <c r="E17" s="2" t="s">
        <v>69</v>
      </c>
      <c r="F17" s="4">
        <v>8800</v>
      </c>
      <c r="G17" t="s">
        <v>70</v>
      </c>
      <c r="H17" t="s">
        <v>71</v>
      </c>
    </row>
    <row r="18" spans="1:8">
      <c r="A18" s="3">
        <v>3906</v>
      </c>
      <c r="B18" s="3">
        <v>10002</v>
      </c>
      <c r="C18" s="2" t="s">
        <v>47</v>
      </c>
      <c r="D18" s="2" t="s">
        <v>68</v>
      </c>
      <c r="E18" s="2" t="s">
        <v>69</v>
      </c>
      <c r="F18" s="2">
        <v>1900</v>
      </c>
      <c r="G18" t="s">
        <v>70</v>
      </c>
      <c r="H18" t="s">
        <v>71</v>
      </c>
    </row>
    <row r="19" spans="1:8">
      <c r="A19" s="3">
        <v>2009</v>
      </c>
      <c r="B19" s="3" t="s">
        <v>80</v>
      </c>
      <c r="C19" s="2" t="s">
        <v>48</v>
      </c>
      <c r="D19" s="2" t="s">
        <v>74</v>
      </c>
      <c r="E19" s="2" t="s">
        <v>69</v>
      </c>
      <c r="F19" s="2">
        <v>22400</v>
      </c>
      <c r="G19" t="s">
        <v>70</v>
      </c>
      <c r="H19" t="s">
        <v>71</v>
      </c>
    </row>
    <row r="20" spans="1:8">
      <c r="A20" s="3">
        <v>484</v>
      </c>
      <c r="B20" s="3">
        <v>10406</v>
      </c>
      <c r="C20" s="2" t="s">
        <v>49</v>
      </c>
      <c r="D20" s="2" t="s">
        <v>68</v>
      </c>
      <c r="E20" s="2" t="s">
        <v>69</v>
      </c>
      <c r="F20" s="2">
        <v>5100</v>
      </c>
      <c r="G20" t="s">
        <v>70</v>
      </c>
      <c r="H20" t="s">
        <v>71</v>
      </c>
    </row>
    <row r="21" spans="1:8">
      <c r="A21" s="3">
        <v>7338</v>
      </c>
      <c r="B21" s="3">
        <v>360059</v>
      </c>
      <c r="C21" s="2" t="s">
        <v>50</v>
      </c>
      <c r="D21" s="2" t="s">
        <v>72</v>
      </c>
      <c r="E21" s="2" t="s">
        <v>69</v>
      </c>
      <c r="F21" s="2">
        <v>200</v>
      </c>
      <c r="G21" t="s">
        <v>70</v>
      </c>
      <c r="H21" t="s">
        <v>71</v>
      </c>
    </row>
    <row r="22" spans="1:8">
      <c r="A22" s="3">
        <v>7548</v>
      </c>
      <c r="B22" s="3">
        <v>367953</v>
      </c>
      <c r="C22" s="2" t="s">
        <v>51</v>
      </c>
      <c r="D22" s="2" t="s">
        <v>72</v>
      </c>
      <c r="E22" s="2" t="s">
        <v>69</v>
      </c>
      <c r="F22" s="2">
        <v>900</v>
      </c>
      <c r="G22" t="s">
        <v>70</v>
      </c>
      <c r="H22" t="s">
        <v>71</v>
      </c>
    </row>
    <row r="23" spans="1:8">
      <c r="A23" s="3">
        <v>466</v>
      </c>
      <c r="B23" s="3" t="s">
        <v>81</v>
      </c>
      <c r="C23" s="2" t="s">
        <v>52</v>
      </c>
      <c r="D23" s="2" t="s">
        <v>74</v>
      </c>
      <c r="E23" s="2" t="s">
        <v>69</v>
      </c>
      <c r="F23" s="2">
        <v>170</v>
      </c>
      <c r="G23" t="s">
        <v>70</v>
      </c>
      <c r="H23" t="s">
        <v>71</v>
      </c>
    </row>
    <row r="24" spans="1:8">
      <c r="A24" s="3">
        <v>7549</v>
      </c>
      <c r="B24" s="3">
        <v>367871</v>
      </c>
      <c r="C24" s="2" t="s">
        <v>52</v>
      </c>
      <c r="D24" s="2" t="s">
        <v>72</v>
      </c>
      <c r="E24" s="2" t="s">
        <v>69</v>
      </c>
      <c r="F24" s="4">
        <v>1624</v>
      </c>
      <c r="G24" t="s">
        <v>70</v>
      </c>
      <c r="H24" t="s">
        <v>71</v>
      </c>
    </row>
    <row r="25" spans="1:8">
      <c r="A25" s="3">
        <v>3118</v>
      </c>
      <c r="B25" s="3">
        <v>10011</v>
      </c>
      <c r="C25" s="2" t="s">
        <v>53</v>
      </c>
      <c r="D25" s="2" t="s">
        <v>68</v>
      </c>
      <c r="E25" s="2" t="s">
        <v>69</v>
      </c>
      <c r="F25" s="2">
        <v>11300</v>
      </c>
      <c r="G25" t="s">
        <v>70</v>
      </c>
      <c r="H25" t="s">
        <v>71</v>
      </c>
    </row>
    <row r="26" spans="1:8">
      <c r="A26" s="3">
        <v>7328</v>
      </c>
      <c r="B26" s="3">
        <v>360055</v>
      </c>
      <c r="C26" s="2" t="s">
        <v>53</v>
      </c>
      <c r="D26" s="2" t="s">
        <v>72</v>
      </c>
      <c r="E26" s="2" t="s">
        <v>69</v>
      </c>
      <c r="F26" s="4">
        <v>3000</v>
      </c>
      <c r="G26" t="s">
        <v>70</v>
      </c>
      <c r="H26" t="s">
        <v>71</v>
      </c>
    </row>
    <row r="27" spans="1:8">
      <c r="A27" s="3">
        <v>3316</v>
      </c>
      <c r="B27" s="3">
        <v>10012</v>
      </c>
      <c r="C27" s="2" t="s">
        <v>54</v>
      </c>
      <c r="D27" s="2" t="s">
        <v>68</v>
      </c>
      <c r="E27" s="2" t="s">
        <v>69</v>
      </c>
      <c r="F27" s="2">
        <v>25200</v>
      </c>
      <c r="G27" t="s">
        <v>70</v>
      </c>
      <c r="H27" t="s">
        <v>71</v>
      </c>
    </row>
    <row r="28" spans="1:8">
      <c r="A28" s="3">
        <v>7337</v>
      </c>
      <c r="B28" s="3">
        <v>360057</v>
      </c>
      <c r="C28" s="2" t="s">
        <v>54</v>
      </c>
      <c r="D28" s="2" t="s">
        <v>72</v>
      </c>
      <c r="E28" s="2" t="s">
        <v>69</v>
      </c>
      <c r="F28" s="4">
        <v>4800</v>
      </c>
      <c r="G28" t="s">
        <v>70</v>
      </c>
      <c r="H28" t="s">
        <v>71</v>
      </c>
    </row>
    <row r="29" spans="1:8">
      <c r="A29" s="3">
        <v>8044</v>
      </c>
      <c r="B29" s="3">
        <v>2827</v>
      </c>
      <c r="C29" s="2" t="s">
        <v>55</v>
      </c>
      <c r="D29" s="2" t="s">
        <v>74</v>
      </c>
      <c r="E29" s="2" t="s">
        <v>69</v>
      </c>
      <c r="F29" s="2">
        <v>100</v>
      </c>
      <c r="G29" t="s">
        <v>70</v>
      </c>
      <c r="H29" t="s">
        <v>71</v>
      </c>
    </row>
    <row r="30" spans="1:8">
      <c r="A30" s="3">
        <v>7019</v>
      </c>
      <c r="B30" s="3" t="s">
        <v>82</v>
      </c>
      <c r="C30" s="2" t="s">
        <v>56</v>
      </c>
      <c r="D30" s="2" t="s">
        <v>76</v>
      </c>
      <c r="E30" s="2" t="s">
        <v>69</v>
      </c>
      <c r="F30" s="2">
        <v>0</v>
      </c>
      <c r="G30" t="s">
        <v>70</v>
      </c>
      <c r="H30" t="s">
        <v>71</v>
      </c>
    </row>
    <row r="31" spans="1:8">
      <c r="A31" s="3">
        <v>7335</v>
      </c>
      <c r="B31" s="3">
        <v>360051</v>
      </c>
      <c r="C31" s="2" t="s">
        <v>57</v>
      </c>
      <c r="D31" s="2" t="s">
        <v>72</v>
      </c>
      <c r="E31" s="2" t="s">
        <v>69</v>
      </c>
      <c r="F31" s="2">
        <v>400</v>
      </c>
      <c r="G31" t="s">
        <v>70</v>
      </c>
      <c r="H31" t="s">
        <v>71</v>
      </c>
    </row>
    <row r="32" spans="1:8">
      <c r="A32" s="3">
        <v>3475</v>
      </c>
      <c r="B32" s="3" t="s">
        <v>83</v>
      </c>
      <c r="C32" s="2" t="s">
        <v>58</v>
      </c>
      <c r="D32" s="2" t="s">
        <v>74</v>
      </c>
      <c r="E32" s="2" t="s">
        <v>69</v>
      </c>
      <c r="F32" s="2">
        <v>8000</v>
      </c>
      <c r="G32" t="s">
        <v>70</v>
      </c>
      <c r="H32" t="s">
        <v>71</v>
      </c>
    </row>
    <row r="33" spans="1:8">
      <c r="A33" s="3">
        <v>7443</v>
      </c>
      <c r="B33" s="3">
        <v>367820</v>
      </c>
      <c r="C33" s="2" t="s">
        <v>59</v>
      </c>
      <c r="D33" s="2" t="s">
        <v>72</v>
      </c>
      <c r="E33" s="2" t="s">
        <v>69</v>
      </c>
      <c r="F33" s="2">
        <v>900</v>
      </c>
      <c r="G33" t="s">
        <v>70</v>
      </c>
      <c r="H33" t="s">
        <v>71</v>
      </c>
    </row>
    <row r="34" spans="1:8">
      <c r="A34" s="5">
        <v>8455</v>
      </c>
      <c r="B34" s="5">
        <v>2776</v>
      </c>
      <c r="C34" s="6" t="s">
        <v>55</v>
      </c>
      <c r="D34" s="6" t="s">
        <v>79</v>
      </c>
      <c r="E34" s="6" t="s">
        <v>69</v>
      </c>
      <c r="F34" s="6">
        <v>500</v>
      </c>
      <c r="G34" t="s">
        <v>70</v>
      </c>
      <c r="H34" t="s">
        <v>71</v>
      </c>
    </row>
  </sheetData>
  <autoFilter xmlns:etc="http://www.wps.cn/officeDocument/2017/etCustomData" ref="A2:F34" etc:filterBottomFollowUsedRange="0">
    <sortState ref="A2:F34">
      <sortCondition ref="C2:C33"/>
    </sortState>
    <extLst/>
  </autoFilter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7A9322B-C329-4A2E-AE32-D76E7C4DA66E}">
  <ds:schemaRefs/>
</ds:datastoreItem>
</file>

<file path=customXml/itemProps2.xml><?xml version="1.0" encoding="utf-8"?>
<ds:datastoreItem xmlns:ds="http://schemas.openxmlformats.org/officeDocument/2006/customXml" ds:itemID="{F1F0FB9D-7968-423C-92E2-DA61DD29D53C}">
  <ds:schemaRefs/>
</ds:datastoreItem>
</file>

<file path=customXml/itemProps3.xml><?xml version="1.0" encoding="utf-8"?>
<ds:datastoreItem xmlns:ds="http://schemas.openxmlformats.org/officeDocument/2006/customXml" ds:itemID="{B03B98D9-181A-4602-81C8-63DA50D910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RESUMO</vt:lpstr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7</dc:creator>
  <cp:lastModifiedBy>CRISTINA.S</cp:lastModifiedBy>
  <dcterms:created xsi:type="dcterms:W3CDTF">2026-05-14T16:41:00Z</dcterms:created>
  <dcterms:modified xsi:type="dcterms:W3CDTF">2026-05-18T13:38:00Z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B63F3F919ABE403A9F915C1C25ECAB06_13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  <property fmtid="{D5CDD505-2E9C-101B-9397-08002B2CF9AE}" pid="5" name="ContentTypeId">
    <vt:lpwstr>0x010100A31624236A3D4440B7B20DA8028DEABB</vt:lpwstr>
  </property>
</Properties>
</file>